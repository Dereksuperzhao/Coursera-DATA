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DA3C0097-8564-4351-9BAB-16EE6366950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83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1" i="1"/>
  <c r="C1048576" i="1"/>
</calcChain>
</file>

<file path=xl/sharedStrings.xml><?xml version="1.0" encoding="utf-8"?>
<sst xmlns="http://schemas.openxmlformats.org/spreadsheetml/2006/main" count="169" uniqueCount="38">
  <si>
    <t>Department</t>
  </si>
  <si>
    <t>Sum of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</si>
  <si>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</si>
  <si>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</si>
  <si>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</si>
  <si>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</si>
  <si>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</si>
  <si>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</si>
  <si>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</si>
  <si>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</si>
  <si>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</si>
  <si>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</si>
  <si>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</si>
  <si>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</si>
  <si>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Grand Total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</si>
  <si>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</si>
  <si>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</si>
  <si>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</si>
  <si>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</si>
  <si>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</si>
  <si>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</si>
  <si>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</si>
  <si>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</si>
  <si>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</si>
  <si>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</si>
  <si>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</si>
  <si>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CUV Total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</si>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</sst>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675.747523032405" createdVersion="7" refreshedVersion="7" minRefreshableVersion="3" recordCount="49" xr:uid="{5CD5CCF1-816D-42F1-8F25-509E3B741DC3}">
  <cacheSource type="worksheet">
    <worksheetSource name="Table1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ACD94-3A5B-46B4-834F-166BEC668563}" name="PivotTable4" cacheId="8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65F43-7454-46D6-AF3B-836C3CB05F58}" name="PivotTable5" cacheId="8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CDAED-5130-4251-93D3-486FB0EE53F1}" name="PivotTable6" cacheId="8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2F9E6-5CF1-4B18-8403-0EDD2F881C6D}" name="Table1" displayName="Table1" ref="A1:C50" totalsRowShown="0">
  <autoFilter ref="A1:C50" xr:uid="{D282F9E6-5CF1-4B18-8403-0EDD2F881C6D}"/>
  <tableColumns count="3">
    <tableColumn id="1" xr3:uid="{B1619689-0A7B-428E-938F-FD30599C64E8}" name="Department"/>
    <tableColumn id="2" xr3:uid="{DAC12CE1-DD22-4A9D-8A26-1A30E1A376B0}" name="Equipment Class"/>
    <tableColumn id="3" xr3:uid="{6B388556-DCAA-44E8-B0B6-38A154E604C9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C57F-EC19-4427-9B50-FAE7C1127B81}">
  <dimension ref="A3:B16"/>
  <sheetViews>
    <sheetView workbookViewId="0">
      <selection activeCell="G15" sqref="G15"/>
    </sheetView>
  </sheetViews>
  <sheetFormatPr defaultRowHeight="15"/>
  <cols>
    <col min="1" max="1" width="29.28515625" bestFit="1" customWidth="1"/>
    <col min="2" max="2" width="23.8554687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1221</v>
      </c>
    </row>
    <row r="5" spans="1:2">
      <c r="A5" t="s">
        <v>3</v>
      </c>
      <c r="B5" s="2">
        <v>109</v>
      </c>
    </row>
    <row r="6" spans="1:2">
      <c r="A6" t="s">
        <v>4</v>
      </c>
      <c r="B6" s="2">
        <v>85</v>
      </c>
    </row>
    <row r="7" spans="1:2">
      <c r="A7" t="s">
        <v>5</v>
      </c>
      <c r="B7" s="2">
        <v>56</v>
      </c>
    </row>
    <row r="8" spans="1:2">
      <c r="A8" t="s">
        <v>6</v>
      </c>
      <c r="B8" s="2">
        <v>45</v>
      </c>
    </row>
    <row r="9" spans="1:2">
      <c r="A9" t="s">
        <v>7</v>
      </c>
      <c r="B9" s="2">
        <v>35</v>
      </c>
    </row>
    <row r="10" spans="1:2">
      <c r="A10" t="s">
        <v>8</v>
      </c>
      <c r="B10" s="2">
        <v>16</v>
      </c>
    </row>
    <row r="11" spans="1:2">
      <c r="A11" t="s">
        <v>9</v>
      </c>
      <c r="B11" s="2">
        <v>6</v>
      </c>
    </row>
    <row r="12" spans="1:2">
      <c r="A12" t="s">
        <v>10</v>
      </c>
      <c r="B12" s="2">
        <v>5</v>
      </c>
    </row>
    <row r="13" spans="1:2">
      <c r="A13" t="s">
        <v>11</v>
      </c>
      <c r="B13" s="2">
        <v>2</v>
      </c>
    </row>
    <row r="14" spans="1:2">
      <c r="A14" t="s">
        <v>12</v>
      </c>
      <c r="B14" s="2">
        <v>1</v>
      </c>
    </row>
    <row r="15" spans="1:2">
      <c r="A15" t="s">
        <v>13</v>
      </c>
      <c r="B15" s="2">
        <v>1</v>
      </c>
    </row>
    <row r="16" spans="1:2">
      <c r="A16" t="s">
        <v>14</v>
      </c>
      <c r="B16" s="2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51B1-7C3D-46F1-9E7D-8BDE37ED3D3E}">
  <dimension ref="A3:C25"/>
  <sheetViews>
    <sheetView workbookViewId="0">
      <selection activeCell="D32" sqref="D32"/>
    </sheetView>
  </sheetViews>
  <sheetFormatPr defaultRowHeight="15"/>
  <cols>
    <col min="1" max="1" width="29.28515625" bestFit="1" customWidth="1"/>
    <col min="2" max="2" width="26.28515625" bestFit="1" customWidth="1"/>
    <col min="3" max="3" width="23.85546875" bestFit="1" customWidth="1"/>
  </cols>
  <sheetData>
    <row r="3" spans="1:3">
      <c r="A3" s="1" t="s">
        <v>0</v>
      </c>
      <c r="B3" s="1" t="s">
        <v>15</v>
      </c>
      <c r="C3" t="s">
        <v>1</v>
      </c>
    </row>
    <row r="4" spans="1:3">
      <c r="A4" t="s">
        <v>2</v>
      </c>
      <c r="B4" t="s">
        <v>16</v>
      </c>
      <c r="C4" s="2">
        <v>5</v>
      </c>
    </row>
    <row r="5" spans="1:3">
      <c r="B5" t="s">
        <v>17</v>
      </c>
      <c r="C5" s="2">
        <v>248</v>
      </c>
    </row>
    <row r="6" spans="1:3">
      <c r="B6" t="s">
        <v>18</v>
      </c>
      <c r="C6" s="2">
        <v>98</v>
      </c>
    </row>
    <row r="7" spans="1:3">
      <c r="B7" t="s">
        <v>19</v>
      </c>
      <c r="C7" s="2">
        <v>276</v>
      </c>
    </row>
    <row r="8" spans="1:3">
      <c r="B8" t="s">
        <v>20</v>
      </c>
      <c r="C8" s="2">
        <v>93</v>
      </c>
    </row>
    <row r="9" spans="1:3">
      <c r="B9" t="s">
        <v>21</v>
      </c>
      <c r="C9" s="2">
        <v>37</v>
      </c>
    </row>
    <row r="10" spans="1:3">
      <c r="B10" t="s">
        <v>22</v>
      </c>
      <c r="C10" s="2">
        <v>53</v>
      </c>
    </row>
    <row r="11" spans="1:3">
      <c r="B11" t="s">
        <v>23</v>
      </c>
      <c r="C11" s="2">
        <v>379</v>
      </c>
    </row>
    <row r="12" spans="1:3">
      <c r="B12" t="s">
        <v>24</v>
      </c>
      <c r="C12" s="2">
        <v>32</v>
      </c>
    </row>
    <row r="13" spans="1:3">
      <c r="A13" t="s">
        <v>25</v>
      </c>
      <c r="C13" s="2">
        <v>1221</v>
      </c>
    </row>
    <row r="14" spans="1:3">
      <c r="A14" t="s">
        <v>3</v>
      </c>
      <c r="C14" s="2">
        <v>109</v>
      </c>
    </row>
    <row r="15" spans="1:3">
      <c r="A15" t="s">
        <v>4</v>
      </c>
      <c r="C15" s="2">
        <v>85</v>
      </c>
    </row>
    <row r="16" spans="1:3">
      <c r="A16" t="s">
        <v>5</v>
      </c>
      <c r="C16" s="2">
        <v>56</v>
      </c>
    </row>
    <row r="17" spans="1:3">
      <c r="A17" t="s">
        <v>6</v>
      </c>
      <c r="C17" s="2">
        <v>45</v>
      </c>
    </row>
    <row r="18" spans="1:3">
      <c r="A18" t="s">
        <v>7</v>
      </c>
      <c r="C18" s="2">
        <v>35</v>
      </c>
    </row>
    <row r="19" spans="1:3">
      <c r="A19" t="s">
        <v>8</v>
      </c>
      <c r="C19" s="2">
        <v>16</v>
      </c>
    </row>
    <row r="20" spans="1:3">
      <c r="A20" t="s">
        <v>9</v>
      </c>
      <c r="C20" s="2">
        <v>6</v>
      </c>
    </row>
    <row r="21" spans="1:3">
      <c r="A21" t="s">
        <v>10</v>
      </c>
      <c r="C21" s="2">
        <v>5</v>
      </c>
    </row>
    <row r="22" spans="1:3">
      <c r="A22" t="s">
        <v>11</v>
      </c>
      <c r="C22" s="2">
        <v>2</v>
      </c>
    </row>
    <row r="23" spans="1:3">
      <c r="A23" t="s">
        <v>12</v>
      </c>
      <c r="C23" s="2">
        <v>1</v>
      </c>
    </row>
    <row r="24" spans="1:3">
      <c r="A24" t="s">
        <v>13</v>
      </c>
      <c r="C24" s="2">
        <v>1</v>
      </c>
    </row>
    <row r="25" spans="1:3">
      <c r="A25" t="s">
        <v>14</v>
      </c>
      <c r="C2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F637-BB97-4C8B-91A8-6A11025DD017}">
  <dimension ref="A3:C21"/>
  <sheetViews>
    <sheetView tabSelected="1" workbookViewId="0">
      <selection activeCell="M11" sqref="M11"/>
    </sheetView>
  </sheetViews>
  <sheetFormatPr defaultRowHeight="15"/>
  <cols>
    <col min="1" max="1" width="29.28515625" bestFit="1" customWidth="1"/>
    <col min="2" max="2" width="19" bestFit="1" customWidth="1"/>
    <col min="3" max="3" width="23.85546875" bestFit="1" customWidth="1"/>
  </cols>
  <sheetData>
    <row r="3" spans="1:3">
      <c r="A3" s="1" t="s">
        <v>15</v>
      </c>
      <c r="B3" s="1" t="s">
        <v>0</v>
      </c>
      <c r="C3" t="s">
        <v>1</v>
      </c>
    </row>
    <row r="4" spans="1:3">
      <c r="A4" t="s">
        <v>16</v>
      </c>
      <c r="B4" t="s">
        <v>3</v>
      </c>
      <c r="C4" s="2">
        <v>9</v>
      </c>
    </row>
    <row r="5" spans="1:3">
      <c r="B5" t="s">
        <v>2</v>
      </c>
      <c r="C5" s="2">
        <v>5</v>
      </c>
    </row>
    <row r="6" spans="1:3">
      <c r="B6" t="s">
        <v>8</v>
      </c>
      <c r="C6" s="2">
        <v>1</v>
      </c>
    </row>
    <row r="7" spans="1:3">
      <c r="A7" t="s">
        <v>26</v>
      </c>
      <c r="C7" s="2">
        <v>15</v>
      </c>
    </row>
    <row r="8" spans="1:3">
      <c r="A8" t="s">
        <v>17</v>
      </c>
      <c r="C8" s="2">
        <v>290</v>
      </c>
    </row>
    <row r="9" spans="1:3">
      <c r="A9" t="s">
        <v>18</v>
      </c>
      <c r="C9" s="2">
        <v>100</v>
      </c>
    </row>
    <row r="10" spans="1:3">
      <c r="A10" t="s">
        <v>19</v>
      </c>
      <c r="C10" s="2">
        <v>283</v>
      </c>
    </row>
    <row r="11" spans="1:3">
      <c r="A11" t="s">
        <v>20</v>
      </c>
      <c r="C11" s="2">
        <v>150</v>
      </c>
    </row>
    <row r="12" spans="1:3">
      <c r="A12" t="s">
        <v>27</v>
      </c>
      <c r="C12" s="2">
        <v>4</v>
      </c>
    </row>
    <row r="13" spans="1:3">
      <c r="A13" t="s">
        <v>28</v>
      </c>
      <c r="C13" s="2">
        <v>1</v>
      </c>
    </row>
    <row r="14" spans="1:3">
      <c r="A14" t="s">
        <v>29</v>
      </c>
      <c r="C14" s="2">
        <v>47</v>
      </c>
    </row>
    <row r="15" spans="1:3">
      <c r="A15" t="s">
        <v>30</v>
      </c>
      <c r="C15" s="2">
        <v>20</v>
      </c>
    </row>
    <row r="16" spans="1:3">
      <c r="A16" t="s">
        <v>31</v>
      </c>
      <c r="C16" s="2">
        <v>8</v>
      </c>
    </row>
    <row r="17" spans="1:3">
      <c r="A17" t="s">
        <v>21</v>
      </c>
      <c r="C17" s="2">
        <v>130</v>
      </c>
    </row>
    <row r="18" spans="1:3">
      <c r="A18" t="s">
        <v>22</v>
      </c>
      <c r="C18" s="2">
        <v>90</v>
      </c>
    </row>
    <row r="19" spans="1:3">
      <c r="A19" t="s">
        <v>23</v>
      </c>
      <c r="C19" s="2">
        <v>379</v>
      </c>
    </row>
    <row r="20" spans="1:3">
      <c r="A20" t="s">
        <v>24</v>
      </c>
      <c r="C20" s="2">
        <v>65</v>
      </c>
    </row>
    <row r="21" spans="1:3">
      <c r="A21" t="s">
        <v>14</v>
      </c>
      <c r="C21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opLeftCell="A14" workbookViewId="0">
      <selection sqref="A1:C50"/>
    </sheetView>
  </sheetViews>
  <sheetFormatPr defaultRowHeight="15"/>
  <cols>
    <col min="1" max="1" width="29.28515625" bestFit="1" customWidth="1"/>
    <col min="2" max="2" width="26.28515625" bestFit="1" customWidth="1"/>
    <col min="3" max="3" width="19.140625" bestFit="1" customWidth="1"/>
  </cols>
  <sheetData>
    <row r="1" spans="1:6">
      <c r="A1" t="s">
        <v>0</v>
      </c>
      <c r="B1" t="s">
        <v>15</v>
      </c>
      <c r="C1" t="s">
        <v>32</v>
      </c>
      <c r="E1" t="s">
        <v>33</v>
      </c>
      <c r="F1">
        <f>SUM(Table1[Equipment Count])</f>
        <v>1582</v>
      </c>
    </row>
    <row r="2" spans="1:6">
      <c r="A2" t="s">
        <v>6</v>
      </c>
      <c r="B2" t="s">
        <v>20</v>
      </c>
      <c r="C2">
        <v>21</v>
      </c>
      <c r="E2" t="s">
        <v>34</v>
      </c>
      <c r="F2">
        <f>AVERAGE(Table1[Equipment Count])</f>
        <v>32.285714285714285</v>
      </c>
    </row>
    <row r="3" spans="1:6">
      <c r="A3" t="s">
        <v>6</v>
      </c>
      <c r="B3" t="s">
        <v>22</v>
      </c>
      <c r="C3">
        <v>1</v>
      </c>
      <c r="E3" t="s">
        <v>35</v>
      </c>
      <c r="F3">
        <f>MIN(Table1[Equipment Count])</f>
        <v>1</v>
      </c>
    </row>
    <row r="4" spans="1:6">
      <c r="A4" t="s">
        <v>6</v>
      </c>
      <c r="B4" t="s">
        <v>21</v>
      </c>
      <c r="C4">
        <v>23</v>
      </c>
      <c r="E4" t="s">
        <v>36</v>
      </c>
      <c r="F4">
        <f>MAX(Table1[Equipment Count])</f>
        <v>379</v>
      </c>
    </row>
    <row r="5" spans="1:6">
      <c r="A5" t="s">
        <v>11</v>
      </c>
      <c r="B5" t="s">
        <v>21</v>
      </c>
      <c r="C5">
        <v>2</v>
      </c>
      <c r="E5" t="s">
        <v>37</v>
      </c>
      <c r="F5">
        <f>COUNT(Table1[Equipment Count])</f>
        <v>49</v>
      </c>
    </row>
    <row r="6" spans="1:6">
      <c r="A6" t="s">
        <v>9</v>
      </c>
      <c r="B6" t="s">
        <v>20</v>
      </c>
      <c r="C6">
        <v>3</v>
      </c>
    </row>
    <row r="7" spans="1:6">
      <c r="A7" t="s">
        <v>9</v>
      </c>
      <c r="B7" t="s">
        <v>24</v>
      </c>
      <c r="C7">
        <v>2</v>
      </c>
    </row>
    <row r="8" spans="1:6">
      <c r="A8" t="s">
        <v>9</v>
      </c>
      <c r="B8" t="s">
        <v>18</v>
      </c>
      <c r="C8">
        <v>1</v>
      </c>
    </row>
    <row r="9" spans="1:6">
      <c r="A9" t="s">
        <v>5</v>
      </c>
      <c r="B9" t="s">
        <v>24</v>
      </c>
      <c r="C9">
        <v>2</v>
      </c>
    </row>
    <row r="10" spans="1:6">
      <c r="A10" t="s">
        <v>5</v>
      </c>
      <c r="B10" t="s">
        <v>17</v>
      </c>
      <c r="C10">
        <v>42</v>
      </c>
    </row>
    <row r="11" spans="1:6">
      <c r="A11" t="s">
        <v>5</v>
      </c>
      <c r="B11" t="s">
        <v>22</v>
      </c>
      <c r="C11">
        <v>1</v>
      </c>
    </row>
    <row r="12" spans="1:6">
      <c r="A12" t="s">
        <v>5</v>
      </c>
      <c r="B12" t="s">
        <v>21</v>
      </c>
      <c r="C12">
        <v>11</v>
      </c>
    </row>
    <row r="13" spans="1:6">
      <c r="A13" t="s">
        <v>12</v>
      </c>
      <c r="B13" t="s">
        <v>22</v>
      </c>
      <c r="C13">
        <v>1</v>
      </c>
    </row>
    <row r="14" spans="1:6">
      <c r="A14" t="s">
        <v>3</v>
      </c>
      <c r="B14" t="s">
        <v>16</v>
      </c>
      <c r="C14">
        <v>9</v>
      </c>
    </row>
    <row r="15" spans="1:6">
      <c r="A15" t="s">
        <v>3</v>
      </c>
      <c r="B15" t="s">
        <v>22</v>
      </c>
      <c r="C15">
        <v>27</v>
      </c>
    </row>
    <row r="16" spans="1:6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30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31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29</v>
      </c>
      <c r="C32">
        <v>46</v>
      </c>
    </row>
    <row r="33" spans="1:3">
      <c r="A33" t="s">
        <v>4</v>
      </c>
      <c r="B33" t="s">
        <v>28</v>
      </c>
      <c r="C33">
        <v>1</v>
      </c>
    </row>
    <row r="34" spans="1:3">
      <c r="A34" t="s">
        <v>10</v>
      </c>
      <c r="B34" t="s">
        <v>29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  <row r="1048576" spans="3:3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2022-04-24T22:00:12Z</dcterms:modified>
  <cp:category/>
  <cp:contentStatus/>
</cp:coreProperties>
</file>